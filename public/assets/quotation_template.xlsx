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y Drive\Post\"/>
    </mc:Choice>
  </mc:AlternateContent>
  <xr:revisionPtr revIDLastSave="0" documentId="13_ncr:1_{DC84F2E6-ADF9-4F2E-B285-50142E5FB8F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5%" sheetId="3" r:id="rId1"/>
    <sheet name="Name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3" l="1"/>
  <c r="P32" i="3" s="1"/>
  <c r="N31" i="3"/>
  <c r="P31" i="3" s="1"/>
  <c r="N30" i="3"/>
  <c r="P30" i="3" s="1"/>
  <c r="P29" i="3"/>
  <c r="N29" i="3"/>
  <c r="N28" i="3"/>
  <c r="P28" i="3" s="1"/>
  <c r="N27" i="3"/>
  <c r="P27" i="3" s="1"/>
  <c r="N26" i="3"/>
  <c r="P26" i="3" s="1"/>
  <c r="N25" i="3"/>
  <c r="P25" i="3" s="1"/>
  <c r="N15" i="3"/>
  <c r="P15" i="3" s="1"/>
  <c r="N14" i="3"/>
  <c r="P14" i="3" s="1"/>
  <c r="N13" i="3"/>
  <c r="P13" i="3" s="1"/>
  <c r="N12" i="3"/>
  <c r="P12" i="3" s="1"/>
  <c r="N11" i="3"/>
  <c r="P11" i="3" s="1"/>
  <c r="N10" i="3"/>
  <c r="P10" i="3" s="1"/>
  <c r="N9" i="3"/>
  <c r="P9" i="3" s="1"/>
  <c r="N8" i="3"/>
  <c r="P8" i="3" s="1"/>
  <c r="N7" i="3"/>
  <c r="P7" i="3" s="1"/>
  <c r="N6" i="3"/>
  <c r="P6" i="3" s="1"/>
  <c r="N5" i="3"/>
  <c r="P5" i="3" s="1"/>
  <c r="Y32" i="3"/>
  <c r="W32" i="3"/>
  <c r="E32" i="3"/>
  <c r="G32" i="3" s="1"/>
  <c r="W31" i="3"/>
  <c r="Y31" i="3" s="1"/>
  <c r="E31" i="3"/>
  <c r="G31" i="3" s="1"/>
  <c r="Y30" i="3"/>
  <c r="W30" i="3"/>
  <c r="E30" i="3"/>
  <c r="G30" i="3" s="1"/>
  <c r="W29" i="3"/>
  <c r="Y29" i="3" s="1"/>
  <c r="E29" i="3"/>
  <c r="G29" i="3" s="1"/>
  <c r="Y28" i="3"/>
  <c r="W28" i="3"/>
  <c r="E28" i="3"/>
  <c r="G28" i="3" s="1"/>
  <c r="W27" i="3"/>
  <c r="Y27" i="3" s="1"/>
  <c r="E27" i="3"/>
  <c r="G27" i="3" s="1"/>
  <c r="Y26" i="3"/>
  <c r="W26" i="3"/>
  <c r="E26" i="3"/>
  <c r="G26" i="3" s="1"/>
  <c r="W25" i="3"/>
  <c r="Y25" i="3" s="1"/>
  <c r="E25" i="3"/>
  <c r="G25" i="3" s="1"/>
  <c r="Y15" i="3"/>
  <c r="W15" i="3"/>
  <c r="E15" i="3"/>
  <c r="G15" i="3" s="1"/>
  <c r="W14" i="3"/>
  <c r="Y14" i="3" s="1"/>
  <c r="E14" i="3"/>
  <c r="G14" i="3" s="1"/>
  <c r="W13" i="3"/>
  <c r="Y13" i="3" s="1"/>
  <c r="E13" i="3"/>
  <c r="G13" i="3" s="1"/>
  <c r="W12" i="3"/>
  <c r="Y12" i="3" s="1"/>
  <c r="E12" i="3"/>
  <c r="G12" i="3" s="1"/>
  <c r="W11" i="3"/>
  <c r="Y11" i="3" s="1"/>
  <c r="E11" i="3"/>
  <c r="G11" i="3" s="1"/>
  <c r="W10" i="3"/>
  <c r="Y10" i="3" s="1"/>
  <c r="E10" i="3"/>
  <c r="G10" i="3" s="1"/>
  <c r="W9" i="3"/>
  <c r="Y9" i="3" s="1"/>
  <c r="E9" i="3"/>
  <c r="G9" i="3" s="1"/>
  <c r="W8" i="3"/>
  <c r="Y8" i="3" s="1"/>
  <c r="E8" i="3"/>
  <c r="G8" i="3" s="1"/>
  <c r="W7" i="3"/>
  <c r="Y7" i="3" s="1"/>
  <c r="W6" i="3"/>
  <c r="Y6" i="3" s="1"/>
  <c r="E6" i="3"/>
  <c r="G6" i="3" s="1"/>
  <c r="W5" i="3"/>
  <c r="Y5" i="3" s="1"/>
  <c r="Y16" i="3" s="1"/>
  <c r="E5" i="3"/>
  <c r="G5" i="3" s="1"/>
  <c r="P16" i="3" l="1"/>
  <c r="E7" i="3"/>
  <c r="G7" i="3" s="1"/>
  <c r="G16" i="3" s="1"/>
  <c r="W17" i="3"/>
  <c r="Y17" i="3" s="1"/>
  <c r="N17" i="3" l="1"/>
  <c r="P17" i="3" s="1"/>
  <c r="P18" i="3" s="1"/>
  <c r="E17" i="3"/>
  <c r="G17" i="3" s="1"/>
  <c r="Y18" i="3"/>
  <c r="P19" i="3" l="1" a="1"/>
  <c r="P19" i="3" s="1"/>
  <c r="P21" i="3" s="1"/>
  <c r="Y19" i="3" a="1"/>
  <c r="Y19" i="3" s="1"/>
  <c r="Y21" i="3" s="1"/>
  <c r="Y22" i="3" s="1"/>
  <c r="Y23" i="3" s="1"/>
  <c r="Y33" i="3" s="1"/>
  <c r="Y34" i="3" s="1"/>
  <c r="G18" i="3"/>
  <c r="P22" i="3" l="1"/>
  <c r="P23" i="3" s="1"/>
  <c r="P33" i="3" s="1"/>
  <c r="P34" i="3" s="1"/>
  <c r="G19" i="3" a="1"/>
  <c r="G19" i="3" s="1"/>
  <c r="G21" i="3" s="1"/>
  <c r="G22" i="3" s="1"/>
  <c r="G23" i="3" s="1"/>
  <c r="G33" i="3" s="1"/>
  <c r="G34" i="3" s="1"/>
  <c r="Y37" i="3"/>
  <c r="Z37" i="3" s="1"/>
  <c r="Z35" i="3"/>
  <c r="Q35" i="3" l="1"/>
  <c r="P37" i="3"/>
  <c r="Q37" i="3" s="1"/>
  <c r="G37" i="3"/>
  <c r="H37" i="3" s="1"/>
  <c r="H3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<sst xmlns="http://schemas.openxmlformats.org/spreadsheetml/2006/main" count="100" uniqueCount="29">
  <si>
    <t>Total</t>
  </si>
  <si>
    <t>Mark up</t>
  </si>
  <si>
    <t>GST</t>
  </si>
  <si>
    <t>Pkg</t>
  </si>
  <si>
    <t>ROUND UP</t>
  </si>
  <si>
    <t>Sno</t>
  </si>
  <si>
    <t>Salutation</t>
  </si>
  <si>
    <t>Given Name</t>
  </si>
  <si>
    <t>Surname</t>
  </si>
  <si>
    <t>Passport Number</t>
  </si>
  <si>
    <t>DOB</t>
  </si>
  <si>
    <t>PID (dd-mm-yyyy)</t>
  </si>
  <si>
    <t>PED (dd-mm-yyyy)</t>
  </si>
  <si>
    <t>Pan Card Number</t>
  </si>
  <si>
    <t>no of pax</t>
  </si>
  <si>
    <t>per person</t>
  </si>
  <si>
    <t>Name ref of the passenger</t>
  </si>
  <si>
    <t>Converstion</t>
  </si>
  <si>
    <t>no of pax/total</t>
  </si>
  <si>
    <t>Net</t>
  </si>
  <si>
    <t>Total with Mark up</t>
  </si>
  <si>
    <t>Mark up with Gst</t>
  </si>
  <si>
    <t>%</t>
  </si>
  <si>
    <t>Markup</t>
  </si>
  <si>
    <t>% amount</t>
  </si>
  <si>
    <t>TCS</t>
  </si>
  <si>
    <t>Offer Price</t>
  </si>
  <si>
    <t>Flight</t>
  </si>
  <si>
    <t>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</si>
</sst>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rgb="FF000000"/>
      <name val="Calibri"/>
      <family val="2"/>
    </font>
    <font>
      <sz val="10"/>
      <color rgb="FF000000"/>
      <name val="Lato"/>
      <family val="2"/>
    </font>
    <font>
      <b/>
      <sz val="16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vertical="top"/>
    </xf>
    <xf numFmtId="14" fontId="2" fillId="0" borderId="0" xfId="1" applyNumberFormat="1" applyAlignment="1">
      <alignment horizontal="left" vertical="top"/>
    </xf>
    <xf numFmtId="0" fontId="6" fillId="0" borderId="0" xfId="0" applyFont="1"/>
    <xf numFmtId="0" fontId="2" fillId="0" borderId="0" xfId="1" applyNumberFormat="1"/>
    <xf numFmtId="14" fontId="6" fillId="0" borderId="0" xfId="0" applyNumberFormat="1" applyFont="1" applyAlignment="1">
      <alignment horizontal="left" vertical="top"/>
    </xf>
    <xf numFmtId="1" fontId="0" fillId="0" borderId="0" xfId="0" applyNumberFormat="1"/>
    <xf numFmtId="0" fontId="0" fillId="2" borderId="0" xfId="0" applyFill="1"/>
    <xf numFmtId="0" fontId="7" fillId="0" borderId="0" xfId="0" applyFont="1"/>
    <xf numFmtId="9" fontId="7" fillId="0" borderId="0" xfId="0" applyNumberFormat="1" applyFont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8" fillId="5" borderId="0" xfId="0" applyFont="1" applyFill="1"/>
    <xf numFmtId="0" fontId="0" fillId="5" borderId="0" xfId="0" applyFill="1"/>
    <xf numFmtId="0" fontId="0" fillId="0" borderId="1" xfId="0" applyBorder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10" fillId="0" borderId="0" xfId="0" applyFont="1"/>
    <xf numFmtId="0" fontId="11" fillId="0" borderId="0" xfId="0" applyFont="1"/>
    <xf numFmtId="0" fontId="1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220980</xdr:colOff>
      <xdr:row>58</xdr:row>
      <xdr:rowOff>15240</xdr:rowOff>
    </xdr:from>
    <xdr:to>
      <xdr:col>13</xdr:col>
      <xdr:colOff>0</xdr:colOff>
      <xdr:row>60</xdr:row>
      <xdr:rowOff>106680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7DFFACF-2559-4648-9C7A-11BFDB00EC01}"/>
            </a:ext>
          </a:extLst>
        </xdr:cNvPr>
        <xdr:cNvCxnSpPr/>
      </xdr:nvCxnSpPr>
      <xdr:spPr>
        <a:xfrm flipV="1">
          <a:off x="11483340" y="11506200"/>
          <a:ext cx="647700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A0E3-2165-4145-ADE5-0528CC91ABA3}">
  <dimension ref="A4:Z38"/>
  <sheetViews>
    <sheetView tabSelected="1" topLeftCell="A2" workbookViewId="0">
      <selection activeCell="H46" sqref="H46"/>
    </sheetView>
  </sheetViews>
  <sheetFormatPr defaultRowHeight="15" x14ac:dyDescent="0.25"/>
  <cols>
    <col min="5" max="5" width="10.7109375" customWidth="1"/>
    <col min="7" max="7" width="9.5703125" bestFit="1" customWidth="1"/>
    <col min="8" max="8" width="10.5703125" customWidth="1"/>
    <col min="9" max="9" width="2.28515625" style="18" customWidth="1"/>
    <col min="18" max="18" width="2.140625" style="18" customWidth="1"/>
  </cols>
  <sheetData>
    <row r="4" spans="1:25" x14ac:dyDescent="0.25">
      <c r="A4" s="23" t="s">
        <v>3</v>
      </c>
      <c r="B4" s="23"/>
      <c r="D4" t="s">
        <v>18</v>
      </c>
      <c r="F4" t="s">
        <v>17</v>
      </c>
      <c r="J4" s="23" t="s">
        <v>3</v>
      </c>
      <c r="K4" s="23"/>
      <c r="M4" t="s">
        <v>18</v>
      </c>
      <c r="O4" t="s">
        <v>17</v>
      </c>
      <c r="S4" s="23" t="s">
        <v>3</v>
      </c>
      <c r="T4" s="23"/>
      <c r="V4" t="s">
        <v>18</v>
      </c>
      <c r="X4" t="s">
        <v>17</v>
      </c>
    </row>
    <row r="5" spans="1:25" x14ac:dyDescent="0.25">
      <c r="A5" s="23"/>
      <c r="B5" s="23"/>
      <c r="C5">
        <v>0</v>
      </c>
      <c r="D5">
        <v>1</v>
      </c>
      <c r="E5">
        <f t="shared" ref="E5:E15" si="0">MMULT(D5,C5)</f>
        <v>0</v>
      </c>
      <c r="F5">
        <v>1</v>
      </c>
      <c r="G5">
        <f t="shared" ref="G5:G15" si="1">MMULT(E5,F5)</f>
        <v>0</v>
      </c>
      <c r="J5" s="23"/>
      <c r="K5" s="23"/>
      <c r="L5">
        <v>0</v>
      </c>
      <c r="M5">
        <v>1</v>
      </c>
      <c r="N5">
        <f t="shared" ref="N5:N15" si="2">MMULT(M5,L5)</f>
        <v>0</v>
      </c>
      <c r="O5">
        <v>1</v>
      </c>
      <c r="P5">
        <f t="shared" ref="P5:P15" si="3">MMULT(N5,O5)</f>
        <v>0</v>
      </c>
      <c r="S5" s="23"/>
      <c r="T5" s="23"/>
      <c r="U5">
        <v>0</v>
      </c>
      <c r="V5">
        <v>1</v>
      </c>
      <c r="W5">
        <f t="shared" ref="W5:W15" si="4">MMULT(V5,U5)</f>
        <v>0</v>
      </c>
      <c r="X5">
        <v>1</v>
      </c>
      <c r="Y5">
        <f t="shared" ref="Y5:Y15" si="5">MMULT(W5,X5)</f>
        <v>0</v>
      </c>
    </row>
    <row r="6" spans="1:25" x14ac:dyDescent="0.25">
      <c r="A6" s="23"/>
      <c r="B6" s="23"/>
      <c r="C6">
        <v>0</v>
      </c>
      <c r="D6">
        <v>1</v>
      </c>
      <c r="E6">
        <f t="shared" si="0"/>
        <v>0</v>
      </c>
      <c r="F6">
        <v>1</v>
      </c>
      <c r="G6">
        <f t="shared" si="1"/>
        <v>0</v>
      </c>
      <c r="J6" s="23"/>
      <c r="K6" s="23"/>
      <c r="L6">
        <v>0</v>
      </c>
      <c r="M6">
        <v>1</v>
      </c>
      <c r="N6">
        <f t="shared" si="2"/>
        <v>0</v>
      </c>
      <c r="O6">
        <v>1</v>
      </c>
      <c r="P6">
        <f t="shared" si="3"/>
        <v>0</v>
      </c>
      <c r="S6" s="23"/>
      <c r="T6" s="23"/>
      <c r="U6">
        <v>0</v>
      </c>
      <c r="V6">
        <v>1</v>
      </c>
      <c r="W6">
        <f t="shared" si="4"/>
        <v>0</v>
      </c>
      <c r="X6">
        <v>1</v>
      </c>
      <c r="Y6">
        <f t="shared" si="5"/>
        <v>0</v>
      </c>
    </row>
    <row r="7" spans="1:25" x14ac:dyDescent="0.25">
      <c r="A7" s="23"/>
      <c r="B7" s="23"/>
      <c r="C7">
        <v>0</v>
      </c>
      <c r="D7">
        <v>1</v>
      </c>
      <c r="E7">
        <f t="shared" si="0"/>
        <v>0</v>
      </c>
      <c r="F7">
        <v>1</v>
      </c>
      <c r="G7">
        <f t="shared" si="1"/>
        <v>0</v>
      </c>
      <c r="J7" s="23"/>
      <c r="K7" s="23"/>
      <c r="L7">
        <v>0</v>
      </c>
      <c r="M7">
        <v>1</v>
      </c>
      <c r="N7">
        <f t="shared" si="2"/>
        <v>0</v>
      </c>
      <c r="O7">
        <v>1</v>
      </c>
      <c r="P7">
        <f t="shared" si="3"/>
        <v>0</v>
      </c>
      <c r="S7" s="23"/>
      <c r="T7" s="23"/>
      <c r="U7">
        <v>0</v>
      </c>
      <c r="V7">
        <v>1</v>
      </c>
      <c r="W7">
        <f t="shared" si="4"/>
        <v>0</v>
      </c>
      <c r="X7">
        <v>1</v>
      </c>
      <c r="Y7">
        <f t="shared" si="5"/>
        <v>0</v>
      </c>
    </row>
    <row r="8" spans="1:25" x14ac:dyDescent="0.25">
      <c r="A8" s="23"/>
      <c r="B8" s="23"/>
      <c r="C8">
        <v>0</v>
      </c>
      <c r="D8">
        <v>1</v>
      </c>
      <c r="E8">
        <f t="shared" si="0"/>
        <v>0</v>
      </c>
      <c r="F8">
        <v>1</v>
      </c>
      <c r="G8">
        <f t="shared" si="1"/>
        <v>0</v>
      </c>
      <c r="J8" s="23"/>
      <c r="K8" s="23"/>
      <c r="L8">
        <v>0</v>
      </c>
      <c r="M8">
        <v>1</v>
      </c>
      <c r="N8">
        <f t="shared" si="2"/>
        <v>0</v>
      </c>
      <c r="O8">
        <v>1</v>
      </c>
      <c r="P8">
        <f t="shared" si="3"/>
        <v>0</v>
      </c>
      <c r="S8" s="23"/>
      <c r="T8" s="23"/>
      <c r="U8">
        <v>0</v>
      </c>
      <c r="V8">
        <v>1</v>
      </c>
      <c r="W8">
        <f t="shared" si="4"/>
        <v>0</v>
      </c>
      <c r="X8">
        <v>1</v>
      </c>
      <c r="Y8">
        <f t="shared" si="5"/>
        <v>0</v>
      </c>
    </row>
    <row r="9" spans="1:25" x14ac:dyDescent="0.25">
      <c r="A9" s="23"/>
      <c r="B9" s="23"/>
      <c r="C9">
        <v>0</v>
      </c>
      <c r="D9">
        <v>1</v>
      </c>
      <c r="E9">
        <f t="shared" si="0"/>
        <v>0</v>
      </c>
      <c r="F9">
        <v>1</v>
      </c>
      <c r="G9">
        <f t="shared" si="1"/>
        <v>0</v>
      </c>
      <c r="J9" s="23"/>
      <c r="K9" s="23"/>
      <c r="L9">
        <v>0</v>
      </c>
      <c r="M9">
        <v>1</v>
      </c>
      <c r="N9">
        <f t="shared" si="2"/>
        <v>0</v>
      </c>
      <c r="O9">
        <v>1</v>
      </c>
      <c r="P9">
        <f t="shared" si="3"/>
        <v>0</v>
      </c>
      <c r="S9" s="23"/>
      <c r="T9" s="23"/>
      <c r="U9">
        <v>0</v>
      </c>
      <c r="V9">
        <v>1</v>
      </c>
      <c r="W9">
        <f t="shared" si="4"/>
        <v>0</v>
      </c>
      <c r="X9">
        <v>1</v>
      </c>
      <c r="Y9">
        <f t="shared" si="5"/>
        <v>0</v>
      </c>
    </row>
    <row r="10" spans="1:25" x14ac:dyDescent="0.25">
      <c r="A10" s="23"/>
      <c r="B10" s="23"/>
      <c r="C10">
        <v>0</v>
      </c>
      <c r="D10">
        <v>1</v>
      </c>
      <c r="E10">
        <f t="shared" si="0"/>
        <v>0</v>
      </c>
      <c r="F10">
        <v>1</v>
      </c>
      <c r="G10">
        <f t="shared" si="1"/>
        <v>0</v>
      </c>
      <c r="J10" s="23"/>
      <c r="K10" s="23"/>
      <c r="L10">
        <v>0</v>
      </c>
      <c r="M10">
        <v>1</v>
      </c>
      <c r="N10">
        <f t="shared" si="2"/>
        <v>0</v>
      </c>
      <c r="O10">
        <v>1</v>
      </c>
      <c r="P10">
        <f t="shared" si="3"/>
        <v>0</v>
      </c>
      <c r="S10" s="23"/>
      <c r="T10" s="23"/>
      <c r="U10">
        <v>0</v>
      </c>
      <c r="V10">
        <v>1</v>
      </c>
      <c r="W10">
        <f t="shared" si="4"/>
        <v>0</v>
      </c>
      <c r="X10">
        <v>1</v>
      </c>
      <c r="Y10">
        <f t="shared" si="5"/>
        <v>0</v>
      </c>
    </row>
    <row r="11" spans="1:25" x14ac:dyDescent="0.25">
      <c r="A11" s="23"/>
      <c r="B11" s="23"/>
      <c r="C11">
        <v>0</v>
      </c>
      <c r="D11">
        <v>1</v>
      </c>
      <c r="E11">
        <f t="shared" si="0"/>
        <v>0</v>
      </c>
      <c r="F11">
        <v>1</v>
      </c>
      <c r="G11">
        <f t="shared" si="1"/>
        <v>0</v>
      </c>
      <c r="J11" s="23"/>
      <c r="K11" s="23"/>
      <c r="L11">
        <v>0</v>
      </c>
      <c r="M11">
        <v>1</v>
      </c>
      <c r="N11">
        <f t="shared" si="2"/>
        <v>0</v>
      </c>
      <c r="O11">
        <v>1</v>
      </c>
      <c r="P11">
        <f t="shared" si="3"/>
        <v>0</v>
      </c>
      <c r="S11" s="23"/>
      <c r="T11" s="23"/>
      <c r="U11">
        <v>0</v>
      </c>
      <c r="V11">
        <v>1</v>
      </c>
      <c r="W11">
        <f t="shared" si="4"/>
        <v>0</v>
      </c>
      <c r="X11">
        <v>1</v>
      </c>
      <c r="Y11">
        <f t="shared" si="5"/>
        <v>0</v>
      </c>
    </row>
    <row r="12" spans="1:25" x14ac:dyDescent="0.25">
      <c r="A12" s="23"/>
      <c r="B12" s="23"/>
      <c r="C12">
        <v>0</v>
      </c>
      <c r="D12">
        <v>1</v>
      </c>
      <c r="E12">
        <f t="shared" si="0"/>
        <v>0</v>
      </c>
      <c r="F12">
        <v>1</v>
      </c>
      <c r="G12">
        <f t="shared" si="1"/>
        <v>0</v>
      </c>
      <c r="J12" s="23"/>
      <c r="K12" s="23"/>
      <c r="L12">
        <v>0</v>
      </c>
      <c r="M12">
        <v>1</v>
      </c>
      <c r="N12">
        <f t="shared" si="2"/>
        <v>0</v>
      </c>
      <c r="O12">
        <v>1</v>
      </c>
      <c r="P12">
        <f t="shared" si="3"/>
        <v>0</v>
      </c>
      <c r="S12" s="23"/>
      <c r="T12" s="23"/>
      <c r="U12">
        <v>0</v>
      </c>
      <c r="V12">
        <v>1</v>
      </c>
      <c r="W12">
        <f t="shared" si="4"/>
        <v>0</v>
      </c>
      <c r="X12">
        <v>1</v>
      </c>
      <c r="Y12">
        <f t="shared" si="5"/>
        <v>0</v>
      </c>
    </row>
    <row r="13" spans="1:25" x14ac:dyDescent="0.25">
      <c r="A13" s="23"/>
      <c r="B13" s="23"/>
      <c r="C13">
        <v>0</v>
      </c>
      <c r="D13">
        <v>1</v>
      </c>
      <c r="E13">
        <f t="shared" si="0"/>
        <v>0</v>
      </c>
      <c r="F13">
        <v>1</v>
      </c>
      <c r="G13">
        <f t="shared" si="1"/>
        <v>0</v>
      </c>
      <c r="J13" s="23"/>
      <c r="K13" s="23"/>
      <c r="L13">
        <v>0</v>
      </c>
      <c r="M13">
        <v>1</v>
      </c>
      <c r="N13">
        <f t="shared" si="2"/>
        <v>0</v>
      </c>
      <c r="O13">
        <v>1</v>
      </c>
      <c r="P13">
        <f t="shared" si="3"/>
        <v>0</v>
      </c>
      <c r="S13" s="23"/>
      <c r="T13" s="23"/>
      <c r="U13">
        <v>0</v>
      </c>
      <c r="V13">
        <v>1</v>
      </c>
      <c r="W13">
        <f t="shared" si="4"/>
        <v>0</v>
      </c>
      <c r="X13">
        <v>1</v>
      </c>
      <c r="Y13">
        <f t="shared" si="5"/>
        <v>0</v>
      </c>
    </row>
    <row r="14" spans="1:25" x14ac:dyDescent="0.25">
      <c r="A14" s="23"/>
      <c r="B14" s="23"/>
      <c r="C14">
        <v>0</v>
      </c>
      <c r="D14">
        <v>1</v>
      </c>
      <c r="E14">
        <f t="shared" si="0"/>
        <v>0</v>
      </c>
      <c r="F14">
        <v>1</v>
      </c>
      <c r="G14">
        <f t="shared" si="1"/>
        <v>0</v>
      </c>
      <c r="J14" s="23"/>
      <c r="K14" s="23"/>
      <c r="L14">
        <v>0</v>
      </c>
      <c r="M14">
        <v>1</v>
      </c>
      <c r="N14">
        <f t="shared" si="2"/>
        <v>0</v>
      </c>
      <c r="O14">
        <v>1</v>
      </c>
      <c r="P14">
        <f t="shared" si="3"/>
        <v>0</v>
      </c>
      <c r="S14" s="23"/>
      <c r="T14" s="23"/>
      <c r="U14">
        <v>0</v>
      </c>
      <c r="V14">
        <v>1</v>
      </c>
      <c r="W14">
        <f t="shared" si="4"/>
        <v>0</v>
      </c>
      <c r="X14">
        <v>1</v>
      </c>
      <c r="Y14">
        <f t="shared" si="5"/>
        <v>0</v>
      </c>
    </row>
    <row r="15" spans="1:25" x14ac:dyDescent="0.25">
      <c r="A15" s="23"/>
      <c r="B15" s="23"/>
      <c r="C15">
        <v>0</v>
      </c>
      <c r="D15">
        <v>1</v>
      </c>
      <c r="E15">
        <f t="shared" si="0"/>
        <v>0</v>
      </c>
      <c r="F15">
        <v>1</v>
      </c>
      <c r="G15">
        <f t="shared" si="1"/>
        <v>0</v>
      </c>
      <c r="J15" s="23"/>
      <c r="K15" s="23"/>
      <c r="L15">
        <v>0</v>
      </c>
      <c r="M15">
        <v>1</v>
      </c>
      <c r="N15">
        <f t="shared" si="2"/>
        <v>0</v>
      </c>
      <c r="O15">
        <v>1</v>
      </c>
      <c r="P15">
        <f t="shared" si="3"/>
        <v>0</v>
      </c>
      <c r="S15" s="23"/>
      <c r="T15" s="23"/>
      <c r="U15">
        <v>0</v>
      </c>
      <c r="V15">
        <v>1</v>
      </c>
      <c r="W15">
        <f t="shared" si="4"/>
        <v>0</v>
      </c>
      <c r="X15">
        <v>1</v>
      </c>
      <c r="Y15">
        <f t="shared" si="5"/>
        <v>0</v>
      </c>
    </row>
    <row r="16" spans="1:25" x14ac:dyDescent="0.25">
      <c r="A16" s="24" t="s">
        <v>0</v>
      </c>
      <c r="B16" s="24"/>
      <c r="C16" s="22" t="s">
        <v>22</v>
      </c>
      <c r="D16" s="22" t="s">
        <v>23</v>
      </c>
      <c r="E16" s="22" t="s">
        <v>24</v>
      </c>
      <c r="F16" s="17"/>
      <c r="G16" s="17">
        <f>SUM(G5:G15)</f>
        <v>0</v>
      </c>
      <c r="J16" s="24" t="s">
        <v>0</v>
      </c>
      <c r="K16" s="24"/>
      <c r="L16" s="22" t="s">
        <v>22</v>
      </c>
      <c r="M16" s="22" t="s">
        <v>23</v>
      </c>
      <c r="N16" s="22" t="s">
        <v>24</v>
      </c>
      <c r="O16" s="17"/>
      <c r="P16" s="17">
        <f>SUM(P5:P15)</f>
        <v>0</v>
      </c>
      <c r="S16" s="24" t="s">
        <v>0</v>
      </c>
      <c r="T16" s="24"/>
      <c r="U16" s="22" t="s">
        <v>22</v>
      </c>
      <c r="V16" s="22" t="s">
        <v>23</v>
      </c>
      <c r="W16" s="22" t="s">
        <v>24</v>
      </c>
      <c r="X16" s="17"/>
      <c r="Y16" s="17">
        <f>SUM(Y5:Y15)</f>
        <v>0</v>
      </c>
    </row>
    <row r="17" spans="1:26" x14ac:dyDescent="0.25">
      <c r="A17" s="23" t="s">
        <v>1</v>
      </c>
      <c r="B17" s="23"/>
      <c r="C17">
        <v>25</v>
      </c>
      <c r="D17">
        <v>12000</v>
      </c>
      <c r="E17" s="20">
        <f>MMULT(G16,C17%)</f>
        <v>0</v>
      </c>
      <c r="F17" s="21"/>
      <c r="G17" s="20">
        <f>MAX(D17,E17)</f>
        <v>12000</v>
      </c>
      <c r="J17" s="23" t="s">
        <v>1</v>
      </c>
      <c r="K17" s="23"/>
      <c r="L17">
        <v>25</v>
      </c>
      <c r="M17">
        <v>12000</v>
      </c>
      <c r="N17" s="20">
        <f>MMULT(P16,L17%)</f>
        <v>0</v>
      </c>
      <c r="O17" s="21"/>
      <c r="P17" s="20">
        <f>MAX(M17,N17)</f>
        <v>12000</v>
      </c>
      <c r="S17" s="23" t="s">
        <v>1</v>
      </c>
      <c r="T17" s="23"/>
      <c r="U17">
        <v>25</v>
      </c>
      <c r="V17">
        <v>12000</v>
      </c>
      <c r="W17" s="20">
        <f>MMULT(Y16,U17%)</f>
        <v>0</v>
      </c>
      <c r="X17" s="21"/>
      <c r="Y17" s="20">
        <f>MAX(V17,W17)</f>
        <v>12000</v>
      </c>
    </row>
    <row r="18" spans="1:26" x14ac:dyDescent="0.25">
      <c r="A18" s="25" t="s">
        <v>20</v>
      </c>
      <c r="B18" s="25"/>
      <c r="E18" s="15"/>
      <c r="G18" s="15">
        <f>SUM(G16:G17)</f>
        <v>12000</v>
      </c>
      <c r="J18" s="25" t="s">
        <v>20</v>
      </c>
      <c r="K18" s="25"/>
      <c r="N18" s="15"/>
      <c r="P18" s="15">
        <f>SUM(P16:P17)</f>
        <v>12000</v>
      </c>
      <c r="S18" s="25" t="s">
        <v>20</v>
      </c>
      <c r="T18" s="25"/>
      <c r="W18" s="15"/>
      <c r="Y18" s="15">
        <f>SUM(Y16:Y17)</f>
        <v>12000</v>
      </c>
    </row>
    <row r="19" spans="1:26" x14ac:dyDescent="0.25">
      <c r="A19" s="25" t="s">
        <v>2</v>
      </c>
      <c r="B19" s="25"/>
      <c r="E19" s="16">
        <v>0.05</v>
      </c>
      <c r="G19" s="15" cm="1">
        <f t="array" ref="G19">MMULT(G18,5%)</f>
        <v>600</v>
      </c>
      <c r="J19" s="25" t="s">
        <v>2</v>
      </c>
      <c r="K19" s="25"/>
      <c r="N19" s="16">
        <v>0.05</v>
      </c>
      <c r="P19" s="15" cm="1">
        <f t="array" ref="P19">MMULT(P18,5%)</f>
        <v>600</v>
      </c>
      <c r="S19" s="25" t="s">
        <v>2</v>
      </c>
      <c r="T19" s="25"/>
      <c r="W19" s="16">
        <v>0.05</v>
      </c>
      <c r="Y19" s="15" cm="1">
        <f t="array" ref="Y19">MMULT(Y18,5%)</f>
        <v>600</v>
      </c>
    </row>
    <row r="20" spans="1:26" x14ac:dyDescent="0.25">
      <c r="A20" s="23"/>
      <c r="B20" s="23"/>
      <c r="J20" s="23"/>
      <c r="K20" s="23"/>
      <c r="S20" s="23"/>
      <c r="T20" s="23"/>
    </row>
    <row r="21" spans="1:26" x14ac:dyDescent="0.25">
      <c r="A21" s="23"/>
      <c r="B21" s="23"/>
      <c r="G21" s="19">
        <f>SUM(G18:G20)</f>
        <v>12600</v>
      </c>
      <c r="J21" s="23"/>
      <c r="K21" s="23"/>
      <c r="P21" s="19">
        <f>SUM(P18:P20)</f>
        <v>12600</v>
      </c>
      <c r="S21" s="23"/>
      <c r="T21" s="23"/>
      <c r="Y21" s="19">
        <f>SUM(Y18:Y20)</f>
        <v>12600</v>
      </c>
    </row>
    <row r="22" spans="1:26" x14ac:dyDescent="0.25">
      <c r="A22" s="25" t="s">
        <v>25</v>
      </c>
      <c r="B22" s="25"/>
      <c r="E22" s="16">
        <v>0</v>
      </c>
      <c r="G22">
        <f>MMULT(G21,E22)</f>
        <v>0</v>
      </c>
      <c r="J22" s="25" t="s">
        <v>25</v>
      </c>
      <c r="K22" s="25"/>
      <c r="N22" s="16">
        <v>0</v>
      </c>
      <c r="P22">
        <f>MMULT(P21,N22)</f>
        <v>0</v>
      </c>
      <c r="S22" s="25" t="s">
        <v>25</v>
      </c>
      <c r="T22" s="25"/>
      <c r="W22" s="16">
        <v>0</v>
      </c>
      <c r="Y22">
        <f>MMULT(Y21,W22)</f>
        <v>0</v>
      </c>
    </row>
    <row r="23" spans="1:26" x14ac:dyDescent="0.25">
      <c r="A23" s="24" t="s">
        <v>3</v>
      </c>
      <c r="B23" s="24"/>
      <c r="C23" s="17"/>
      <c r="D23" s="17"/>
      <c r="E23" s="17"/>
      <c r="F23" s="17"/>
      <c r="G23" s="17">
        <f>SUM(G21:G22)</f>
        <v>12600</v>
      </c>
      <c r="J23" s="24" t="s">
        <v>3</v>
      </c>
      <c r="K23" s="24"/>
      <c r="L23" s="17"/>
      <c r="M23" s="17"/>
      <c r="N23" s="17"/>
      <c r="O23" s="17"/>
      <c r="P23" s="17">
        <f>SUM(P21:P22)</f>
        <v>12600</v>
      </c>
      <c r="S23" s="24" t="s">
        <v>3</v>
      </c>
      <c r="T23" s="24"/>
      <c r="U23" s="17"/>
      <c r="V23" s="17"/>
      <c r="W23" s="17"/>
      <c r="X23" s="17"/>
      <c r="Y23" s="17">
        <f>SUM(Y21:Y22)</f>
        <v>12600</v>
      </c>
    </row>
    <row r="24" spans="1:26" x14ac:dyDescent="0.25">
      <c r="A24" s="23"/>
      <c r="B24" s="23"/>
      <c r="C24" t="s">
        <v>19</v>
      </c>
      <c r="D24" t="s">
        <v>1</v>
      </c>
      <c r="E24" t="s">
        <v>21</v>
      </c>
      <c r="F24" t="s">
        <v>14</v>
      </c>
      <c r="J24" s="23"/>
      <c r="K24" s="23"/>
      <c r="L24" t="s">
        <v>19</v>
      </c>
      <c r="M24" t="s">
        <v>1</v>
      </c>
      <c r="N24" t="s">
        <v>21</v>
      </c>
      <c r="O24" t="s">
        <v>14</v>
      </c>
      <c r="S24" s="23"/>
      <c r="T24" s="23"/>
      <c r="U24" t="s">
        <v>19</v>
      </c>
      <c r="V24" t="s">
        <v>1</v>
      </c>
      <c r="W24" t="s">
        <v>21</v>
      </c>
      <c r="X24" t="s">
        <v>14</v>
      </c>
    </row>
    <row r="25" spans="1:26" x14ac:dyDescent="0.25">
      <c r="A25" s="23" t="s">
        <v>27</v>
      </c>
      <c r="B25" s="23"/>
      <c r="C25">
        <v>0</v>
      </c>
      <c r="D25" s="20">
        <v>0</v>
      </c>
      <c r="E25">
        <f t="shared" ref="E25:E32" si="6">SUM(D25,MMULT(D25,18%))</f>
        <v>0</v>
      </c>
      <c r="F25">
        <v>1</v>
      </c>
      <c r="G25">
        <f t="shared" ref="G25:G32" si="7">MMULT(SUM(C25,E25),F25)</f>
        <v>0</v>
      </c>
      <c r="J25" s="23" t="s">
        <v>27</v>
      </c>
      <c r="K25" s="23"/>
      <c r="L25">
        <v>0</v>
      </c>
      <c r="M25" s="20">
        <v>0</v>
      </c>
      <c r="N25">
        <f t="shared" ref="N25:N32" si="8">SUM(M25,MMULT(M25,18%))</f>
        <v>0</v>
      </c>
      <c r="O25">
        <v>1</v>
      </c>
      <c r="P25">
        <f t="shared" ref="P25:P32" si="9">MMULT(SUM(L25,N25),O25)</f>
        <v>0</v>
      </c>
      <c r="S25" s="23" t="s">
        <v>27</v>
      </c>
      <c r="T25" s="23"/>
      <c r="U25">
        <v>0</v>
      </c>
      <c r="V25" s="20">
        <v>0</v>
      </c>
      <c r="W25">
        <f t="shared" ref="W25:W32" si="10">SUM(V25,MMULT(V25,18%))</f>
        <v>0</v>
      </c>
      <c r="X25">
        <v>1</v>
      </c>
      <c r="Y25">
        <f t="shared" ref="Y25:Y32" si="11">MMULT(SUM(U25,W25),X25)</f>
        <v>0</v>
      </c>
    </row>
    <row r="26" spans="1:26" x14ac:dyDescent="0.25">
      <c r="A26" s="23" t="s">
        <v>27</v>
      </c>
      <c r="B26" s="23"/>
      <c r="C26">
        <v>0</v>
      </c>
      <c r="D26" s="20">
        <v>0</v>
      </c>
      <c r="E26">
        <f t="shared" si="6"/>
        <v>0</v>
      </c>
      <c r="F26">
        <v>1</v>
      </c>
      <c r="G26">
        <f t="shared" si="7"/>
        <v>0</v>
      </c>
      <c r="J26" s="23" t="s">
        <v>27</v>
      </c>
      <c r="K26" s="23"/>
      <c r="L26">
        <v>0</v>
      </c>
      <c r="M26" s="20">
        <v>0</v>
      </c>
      <c r="N26">
        <f t="shared" si="8"/>
        <v>0</v>
      </c>
      <c r="O26">
        <v>1</v>
      </c>
      <c r="P26">
        <f t="shared" si="9"/>
        <v>0</v>
      </c>
      <c r="S26" s="23" t="s">
        <v>27</v>
      </c>
      <c r="T26" s="23"/>
      <c r="U26">
        <v>0</v>
      </c>
      <c r="V26" s="20">
        <v>0</v>
      </c>
      <c r="W26">
        <f t="shared" si="10"/>
        <v>0</v>
      </c>
      <c r="X26">
        <v>1</v>
      </c>
      <c r="Y26">
        <f t="shared" si="11"/>
        <v>0</v>
      </c>
    </row>
    <row r="27" spans="1:26" x14ac:dyDescent="0.25">
      <c r="A27" s="23" t="s">
        <v>27</v>
      </c>
      <c r="B27" s="23"/>
      <c r="C27">
        <v>0</v>
      </c>
      <c r="D27" s="20">
        <v>0</v>
      </c>
      <c r="E27">
        <f t="shared" si="6"/>
        <v>0</v>
      </c>
      <c r="F27">
        <v>1</v>
      </c>
      <c r="G27">
        <f t="shared" si="7"/>
        <v>0</v>
      </c>
      <c r="J27" s="23" t="s">
        <v>27</v>
      </c>
      <c r="K27" s="23"/>
      <c r="L27">
        <v>0</v>
      </c>
      <c r="M27" s="20">
        <v>0</v>
      </c>
      <c r="N27">
        <f t="shared" si="8"/>
        <v>0</v>
      </c>
      <c r="O27">
        <v>1</v>
      </c>
      <c r="P27">
        <f t="shared" si="9"/>
        <v>0</v>
      </c>
      <c r="S27" s="23" t="s">
        <v>27</v>
      </c>
      <c r="T27" s="23"/>
      <c r="U27">
        <v>0</v>
      </c>
      <c r="V27" s="20">
        <v>0</v>
      </c>
      <c r="W27">
        <f t="shared" si="10"/>
        <v>0</v>
      </c>
      <c r="X27">
        <v>1</v>
      </c>
      <c r="Y27">
        <f t="shared" si="11"/>
        <v>0</v>
      </c>
    </row>
    <row r="28" spans="1:26" x14ac:dyDescent="0.25">
      <c r="A28" s="23"/>
      <c r="B28" s="23"/>
      <c r="C28">
        <v>0</v>
      </c>
      <c r="D28" s="20">
        <v>0</v>
      </c>
      <c r="E28">
        <f t="shared" si="6"/>
        <v>0</v>
      </c>
      <c r="F28">
        <v>1</v>
      </c>
      <c r="G28">
        <f t="shared" si="7"/>
        <v>0</v>
      </c>
      <c r="J28" s="23"/>
      <c r="K28" s="23"/>
      <c r="L28">
        <v>0</v>
      </c>
      <c r="M28" s="20">
        <v>0</v>
      </c>
      <c r="N28">
        <f t="shared" si="8"/>
        <v>0</v>
      </c>
      <c r="O28">
        <v>1</v>
      </c>
      <c r="P28">
        <f t="shared" si="9"/>
        <v>0</v>
      </c>
      <c r="S28" s="23"/>
      <c r="T28" s="23"/>
      <c r="U28">
        <v>0</v>
      </c>
      <c r="V28" s="20">
        <v>0</v>
      </c>
      <c r="W28">
        <f t="shared" si="10"/>
        <v>0</v>
      </c>
      <c r="X28">
        <v>1</v>
      </c>
      <c r="Y28">
        <f t="shared" si="11"/>
        <v>0</v>
      </c>
    </row>
    <row r="29" spans="1:26" x14ac:dyDescent="0.25">
      <c r="A29" s="23"/>
      <c r="B29" s="23"/>
      <c r="C29">
        <v>0</v>
      </c>
      <c r="D29" s="20">
        <v>0</v>
      </c>
      <c r="E29">
        <f t="shared" si="6"/>
        <v>0</v>
      </c>
      <c r="F29">
        <v>1</v>
      </c>
      <c r="G29">
        <f t="shared" si="7"/>
        <v>0</v>
      </c>
      <c r="J29" s="23"/>
      <c r="K29" s="23"/>
      <c r="L29">
        <v>0</v>
      </c>
      <c r="M29" s="20">
        <v>0</v>
      </c>
      <c r="N29">
        <f t="shared" si="8"/>
        <v>0</v>
      </c>
      <c r="O29">
        <v>1</v>
      </c>
      <c r="P29">
        <f t="shared" si="9"/>
        <v>0</v>
      </c>
      <c r="S29" s="23"/>
      <c r="T29" s="23"/>
      <c r="U29">
        <v>0</v>
      </c>
      <c r="V29" s="20">
        <v>0</v>
      </c>
      <c r="W29">
        <f t="shared" si="10"/>
        <v>0</v>
      </c>
      <c r="X29">
        <v>1</v>
      </c>
      <c r="Y29">
        <f t="shared" si="11"/>
        <v>0</v>
      </c>
    </row>
    <row r="30" spans="1:26" x14ac:dyDescent="0.25">
      <c r="A30" s="23" t="s">
        <v>28</v>
      </c>
      <c r="B30" s="23"/>
      <c r="C30">
        <v>0</v>
      </c>
      <c r="D30" s="20">
        <v>0</v>
      </c>
      <c r="E30">
        <f t="shared" si="6"/>
        <v>0</v>
      </c>
      <c r="F30">
        <v>1</v>
      </c>
      <c r="G30">
        <f t="shared" si="7"/>
        <v>0</v>
      </c>
      <c r="J30" s="23" t="s">
        <v>28</v>
      </c>
      <c r="K30" s="23"/>
      <c r="L30">
        <v>0</v>
      </c>
      <c r="M30" s="20">
        <v>0</v>
      </c>
      <c r="N30">
        <f t="shared" si="8"/>
        <v>0</v>
      </c>
      <c r="O30">
        <v>1</v>
      </c>
      <c r="P30">
        <f t="shared" si="9"/>
        <v>0</v>
      </c>
      <c r="S30" s="23" t="s">
        <v>28</v>
      </c>
      <c r="T30" s="23"/>
      <c r="U30">
        <v>0</v>
      </c>
      <c r="V30" s="20">
        <v>0</v>
      </c>
      <c r="W30">
        <f t="shared" si="10"/>
        <v>0</v>
      </c>
      <c r="X30">
        <v>1</v>
      </c>
      <c r="Y30">
        <f t="shared" si="11"/>
        <v>0</v>
      </c>
    </row>
    <row r="31" spans="1:26" x14ac:dyDescent="0.25">
      <c r="A31" s="23" t="s">
        <v>28</v>
      </c>
      <c r="B31" s="23"/>
      <c r="C31">
        <v>0</v>
      </c>
      <c r="D31" s="20">
        <v>0</v>
      </c>
      <c r="E31">
        <f t="shared" si="6"/>
        <v>0</v>
      </c>
      <c r="F31">
        <v>1</v>
      </c>
      <c r="G31">
        <f t="shared" si="7"/>
        <v>0</v>
      </c>
      <c r="J31" s="23" t="s">
        <v>28</v>
      </c>
      <c r="K31" s="23"/>
      <c r="L31">
        <v>0</v>
      </c>
      <c r="M31" s="20">
        <v>0</v>
      </c>
      <c r="N31">
        <f t="shared" si="8"/>
        <v>0</v>
      </c>
      <c r="O31">
        <v>1</v>
      </c>
      <c r="P31">
        <f t="shared" si="9"/>
        <v>0</v>
      </c>
      <c r="S31" s="23" t="s">
        <v>28</v>
      </c>
      <c r="T31" s="23"/>
      <c r="U31">
        <v>0</v>
      </c>
      <c r="V31" s="20">
        <v>0</v>
      </c>
      <c r="W31">
        <f t="shared" si="10"/>
        <v>0</v>
      </c>
      <c r="X31">
        <v>1</v>
      </c>
      <c r="Y31">
        <f t="shared" si="11"/>
        <v>0</v>
      </c>
    </row>
    <row r="32" spans="1:26" x14ac:dyDescent="0.25">
      <c r="A32" s="23"/>
      <c r="B32" s="23"/>
      <c r="C32">
        <v>0</v>
      </c>
      <c r="D32" s="20">
        <v>0</v>
      </c>
      <c r="E32">
        <f t="shared" si="6"/>
        <v>0</v>
      </c>
      <c r="F32">
        <v>1</v>
      </c>
      <c r="G32">
        <f t="shared" si="7"/>
        <v>0</v>
      </c>
      <c r="H32" t="s">
        <v>14</v>
      </c>
      <c r="J32" s="23"/>
      <c r="K32" s="23"/>
      <c r="L32">
        <v>0</v>
      </c>
      <c r="M32" s="20">
        <v>0</v>
      </c>
      <c r="N32">
        <f t="shared" si="8"/>
        <v>0</v>
      </c>
      <c r="O32">
        <v>1</v>
      </c>
      <c r="P32">
        <f t="shared" si="9"/>
        <v>0</v>
      </c>
      <c r="Q32" t="s">
        <v>14</v>
      </c>
      <c r="S32" s="23"/>
      <c r="T32" s="23"/>
      <c r="U32">
        <v>0</v>
      </c>
      <c r="V32" s="20">
        <v>0</v>
      </c>
      <c r="W32">
        <f t="shared" si="10"/>
        <v>0</v>
      </c>
      <c r="X32">
        <v>1</v>
      </c>
      <c r="Y32">
        <f t="shared" si="11"/>
        <v>0</v>
      </c>
      <c r="Z32" t="s">
        <v>14</v>
      </c>
    </row>
    <row r="33" spans="4:26" x14ac:dyDescent="0.25">
      <c r="F33" s="14" t="s">
        <v>0</v>
      </c>
      <c r="G33" s="14">
        <f>SUM(G23:G32)</f>
        <v>12600</v>
      </c>
      <c r="H33">
        <v>1</v>
      </c>
      <c r="O33" s="14" t="s">
        <v>0</v>
      </c>
      <c r="P33" s="14">
        <f>SUM(P23:P32)</f>
        <v>12600</v>
      </c>
      <c r="Q33">
        <v>1</v>
      </c>
      <c r="X33" s="14" t="s">
        <v>0</v>
      </c>
      <c r="Y33" s="14">
        <f>SUM(Y23:Y32)</f>
        <v>12600</v>
      </c>
      <c r="Z33">
        <v>1</v>
      </c>
    </row>
    <row r="34" spans="4:26" x14ac:dyDescent="0.25">
      <c r="D34" s="20" t="s">
        <v>4</v>
      </c>
      <c r="E34" s="20"/>
      <c r="F34" s="20"/>
      <c r="G34" s="20">
        <f>ROUNDUP(G33,-2)</f>
        <v>12600</v>
      </c>
      <c r="H34" s="20" t="s">
        <v>15</v>
      </c>
      <c r="M34" s="20" t="s">
        <v>4</v>
      </c>
      <c r="N34" s="20"/>
      <c r="O34" s="20"/>
      <c r="P34" s="20">
        <f>ROUNDUP(P33,-2)</f>
        <v>12600</v>
      </c>
      <c r="Q34" s="20" t="s">
        <v>15</v>
      </c>
      <c r="V34" s="20" t="s">
        <v>4</v>
      </c>
      <c r="W34" s="20"/>
      <c r="X34" s="20"/>
      <c r="Y34" s="20">
        <f>ROUNDUP(Y33,-2)</f>
        <v>12600</v>
      </c>
      <c r="Z34" s="20" t="s">
        <v>15</v>
      </c>
    </row>
    <row r="35" spans="4:26" x14ac:dyDescent="0.25">
      <c r="G35" s="13"/>
      <c r="H35" s="20">
        <f>G34/H33</f>
        <v>12600</v>
      </c>
      <c r="P35" s="13"/>
      <c r="Q35" s="20">
        <f>P34/Q33</f>
        <v>12600</v>
      </c>
      <c r="Y35" s="13"/>
      <c r="Z35" s="20">
        <f>Y34/Z33</f>
        <v>12600</v>
      </c>
    </row>
    <row r="36" spans="4:26" x14ac:dyDescent="0.25">
      <c r="G36" s="13"/>
      <c r="H36" s="20" t="s">
        <v>15</v>
      </c>
      <c r="P36" s="13"/>
      <c r="Q36" s="20" t="s">
        <v>15</v>
      </c>
      <c r="Y36" s="13"/>
      <c r="Z36" s="20" t="s">
        <v>15</v>
      </c>
    </row>
    <row r="37" spans="4:26" x14ac:dyDescent="0.25">
      <c r="D37" s="20" t="s">
        <v>26</v>
      </c>
      <c r="E37" s="20"/>
      <c r="F37" s="20"/>
      <c r="G37" s="20">
        <f>ROUNDUP(SUM(G34:G36),-2)</f>
        <v>12600</v>
      </c>
      <c r="H37" s="20">
        <f>G37/H33</f>
        <v>12600</v>
      </c>
      <c r="M37" s="20" t="s">
        <v>26</v>
      </c>
      <c r="N37" s="20"/>
      <c r="O37" s="20"/>
      <c r="P37" s="20">
        <f>ROUNDUP(SUM(P34:P36),-2)</f>
        <v>12600</v>
      </c>
      <c r="Q37" s="20">
        <f>P37/Q33</f>
        <v>12600</v>
      </c>
      <c r="V37" s="20" t="s">
        <v>26</v>
      </c>
      <c r="W37" s="20"/>
      <c r="X37" s="20"/>
      <c r="Y37" s="20">
        <f>ROUNDUP(SUM(Y34:Y36),-2)</f>
        <v>12600</v>
      </c>
      <c r="Z37" s="20">
        <f>Y37/Z33</f>
        <v>12600</v>
      </c>
    </row>
    <row r="38" spans="4:26" s="26" customFormat="1" x14ac:dyDescent="0.25">
      <c r="I38" s="27"/>
      <c r="R38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69E1-D8CB-4069-BBAA-CE8BC9D12912}">
  <dimension ref="A1:L87"/>
  <sheetViews>
    <sheetView workbookViewId="0">
      <selection activeCell="A11" sqref="A11"/>
    </sheetView>
  </sheetViews>
  <sheetFormatPr defaultRowHeight="15" x14ac:dyDescent="0.25"/>
  <cols>
    <col min="1" max="1" width="4.5703125" style="5" customWidth="1"/>
    <col min="2" max="2" width="7" style="5" customWidth="1"/>
    <col min="3" max="3" width="21.5703125" style="5" customWidth="1"/>
    <col min="4" max="4" width="24.140625" style="5" customWidth="1"/>
    <col min="5" max="5" width="15.28515625" style="5" customWidth="1"/>
    <col min="6" max="6" width="13.85546875" style="6" customWidth="1"/>
    <col min="7" max="7" width="14.42578125" style="5" customWidth="1"/>
    <col min="8" max="8" width="13" style="5" customWidth="1"/>
    <col min="9" max="9" width="16.42578125" customWidth="1"/>
  </cols>
  <sheetData>
    <row r="1" spans="1:9" s="3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10</v>
      </c>
      <c r="G1" s="1" t="s">
        <v>11</v>
      </c>
      <c r="H1" s="1" t="s">
        <v>12</v>
      </c>
      <c r="I1" s="3" t="s">
        <v>13</v>
      </c>
    </row>
    <row r="3" spans="1:9" ht="23.25" x14ac:dyDescent="0.25">
      <c r="A3" s="4" t="s">
        <v>16</v>
      </c>
    </row>
    <row r="4" spans="1:9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2" t="s">
        <v>10</v>
      </c>
      <c r="G4" s="1" t="s">
        <v>11</v>
      </c>
      <c r="H4" s="1" t="s">
        <v>12</v>
      </c>
      <c r="I4" s="3" t="s">
        <v>13</v>
      </c>
    </row>
    <row r="5" spans="1:9" x14ac:dyDescent="0.25">
      <c r="A5" s="5">
        <v>1</v>
      </c>
      <c r="G5" s="6"/>
      <c r="H5" s="6"/>
    </row>
    <row r="6" spans="1:9" x14ac:dyDescent="0.25">
      <c r="A6" s="5">
        <v>2</v>
      </c>
      <c r="G6" s="6"/>
      <c r="H6" s="6"/>
    </row>
    <row r="7" spans="1:9" x14ac:dyDescent="0.25">
      <c r="A7" s="5">
        <v>3</v>
      </c>
      <c r="G7" s="6"/>
      <c r="H7" s="6"/>
    </row>
    <row r="8" spans="1:9" x14ac:dyDescent="0.25">
      <c r="A8" s="5">
        <v>4</v>
      </c>
    </row>
    <row r="9" spans="1:9" x14ac:dyDescent="0.25">
      <c r="A9" s="5">
        <v>5</v>
      </c>
      <c r="G9" s="6"/>
      <c r="H9" s="6"/>
    </row>
    <row r="10" spans="1:9" x14ac:dyDescent="0.25">
      <c r="A10" s="5">
        <v>6</v>
      </c>
    </row>
    <row r="12" spans="1:9" ht="23.25" x14ac:dyDescent="0.25">
      <c r="A12" s="4"/>
    </row>
    <row r="13" spans="1:9" x14ac:dyDescent="0.25">
      <c r="A13" s="1"/>
      <c r="B13" s="1"/>
      <c r="C13" s="1"/>
      <c r="D13" s="1"/>
      <c r="E13" s="1"/>
      <c r="F13" s="2"/>
      <c r="G13" s="1"/>
      <c r="H13" s="1"/>
      <c r="I13" s="3"/>
    </row>
    <row r="14" spans="1:9" x14ac:dyDescent="0.25">
      <c r="G14" s="6"/>
      <c r="H14" s="6"/>
      <c r="I14" s="7"/>
    </row>
    <row r="15" spans="1:9" x14ac:dyDescent="0.25">
      <c r="G15" s="6"/>
      <c r="H15" s="6"/>
    </row>
    <row r="16" spans="1:9" x14ac:dyDescent="0.25">
      <c r="G16" s="6"/>
      <c r="H16" s="6"/>
    </row>
    <row r="17" spans="1:8" x14ac:dyDescent="0.25">
      <c r="G17" s="6"/>
      <c r="H17" s="6"/>
    </row>
    <row r="20" spans="1:8" ht="23.25" x14ac:dyDescent="0.25">
      <c r="A20" s="4"/>
    </row>
    <row r="21" spans="1:8" x14ac:dyDescent="0.25">
      <c r="A21" s="1"/>
      <c r="B21" s="1"/>
      <c r="C21" s="1"/>
      <c r="D21" s="1"/>
      <c r="E21" s="1"/>
      <c r="F21" s="2"/>
      <c r="G21" s="1"/>
      <c r="H21" s="1"/>
    </row>
    <row r="22" spans="1:8" x14ac:dyDescent="0.25">
      <c r="G22" s="6"/>
      <c r="H22" s="6"/>
    </row>
    <row r="24" spans="1:8" ht="23.25" x14ac:dyDescent="0.25">
      <c r="A24" s="4"/>
    </row>
    <row r="25" spans="1:8" x14ac:dyDescent="0.25">
      <c r="A25" s="1"/>
      <c r="B25" s="1"/>
      <c r="C25" s="1"/>
      <c r="D25" s="1"/>
      <c r="E25" s="1"/>
      <c r="F25" s="2"/>
      <c r="G25" s="1"/>
      <c r="H25" s="1"/>
    </row>
    <row r="26" spans="1:8" x14ac:dyDescent="0.25">
      <c r="G26" s="6"/>
      <c r="H26" s="6"/>
    </row>
    <row r="27" spans="1:8" x14ac:dyDescent="0.25">
      <c r="G27" s="6"/>
      <c r="H27" s="6"/>
    </row>
    <row r="28" spans="1:8" x14ac:dyDescent="0.25">
      <c r="G28" s="6"/>
      <c r="H28" s="6"/>
    </row>
    <row r="29" spans="1:8" x14ac:dyDescent="0.25">
      <c r="G29" s="6"/>
      <c r="H29" s="6"/>
    </row>
    <row r="32" spans="1:8" ht="23.25" x14ac:dyDescent="0.25">
      <c r="A32" s="4"/>
    </row>
    <row r="33" spans="1:8" x14ac:dyDescent="0.25">
      <c r="A33" s="1"/>
      <c r="B33" s="1"/>
      <c r="C33" s="1"/>
      <c r="D33" s="1"/>
      <c r="E33" s="1"/>
      <c r="F33" s="2"/>
      <c r="G33" s="1"/>
      <c r="H33" s="1"/>
    </row>
    <row r="34" spans="1:8" x14ac:dyDescent="0.25">
      <c r="G34" s="6"/>
      <c r="H34" s="6"/>
    </row>
    <row r="35" spans="1:8" x14ac:dyDescent="0.25">
      <c r="G35" s="6"/>
      <c r="H35" s="6"/>
    </row>
    <row r="36" spans="1:8" x14ac:dyDescent="0.25">
      <c r="G36" s="6"/>
      <c r="H36" s="6"/>
    </row>
    <row r="40" spans="1:8" ht="23.25" x14ac:dyDescent="0.25">
      <c r="A40" s="4"/>
    </row>
    <row r="41" spans="1:8" x14ac:dyDescent="0.25">
      <c r="A41" s="1"/>
      <c r="B41" s="1"/>
      <c r="C41" s="1"/>
      <c r="D41" s="1"/>
      <c r="E41" s="1"/>
      <c r="F41" s="2"/>
      <c r="G41" s="1"/>
      <c r="H41" s="1"/>
    </row>
    <row r="42" spans="1:8" x14ac:dyDescent="0.25">
      <c r="G42" s="6"/>
      <c r="H42" s="6"/>
    </row>
    <row r="43" spans="1:8" x14ac:dyDescent="0.25">
      <c r="G43" s="6"/>
      <c r="H43" s="6"/>
    </row>
    <row r="46" spans="1:8" ht="23.25" x14ac:dyDescent="0.25">
      <c r="A46" s="4"/>
    </row>
    <row r="47" spans="1:8" x14ac:dyDescent="0.25">
      <c r="A47" s="1"/>
      <c r="B47" s="1"/>
      <c r="C47" s="1"/>
      <c r="D47" s="1"/>
      <c r="E47" s="1"/>
      <c r="F47" s="2"/>
      <c r="G47" s="1"/>
      <c r="H47" s="1"/>
    </row>
    <row r="48" spans="1:8" x14ac:dyDescent="0.25">
      <c r="G48" s="6"/>
      <c r="H48" s="6"/>
    </row>
    <row r="49" spans="1:12" x14ac:dyDescent="0.25">
      <c r="G49" s="6"/>
      <c r="H49" s="6"/>
    </row>
    <row r="50" spans="1:12" x14ac:dyDescent="0.25">
      <c r="G50" s="6"/>
      <c r="H50" s="6"/>
    </row>
    <row r="51" spans="1:12" x14ac:dyDescent="0.25">
      <c r="G51" s="6"/>
      <c r="H51" s="6"/>
    </row>
    <row r="54" spans="1:12" ht="21" x14ac:dyDescent="0.25">
      <c r="A54" s="8"/>
      <c r="B54" s="8"/>
      <c r="C54" s="8"/>
    </row>
    <row r="55" spans="1:12" x14ac:dyDescent="0.25">
      <c r="A55" s="1"/>
      <c r="B55" s="1"/>
      <c r="C55" s="1"/>
      <c r="D55" s="1"/>
      <c r="E55" s="1"/>
      <c r="F55" s="2"/>
      <c r="G55" s="1"/>
      <c r="H55" s="1"/>
      <c r="J55" s="1"/>
      <c r="L55" s="1"/>
    </row>
    <row r="56" spans="1:12" x14ac:dyDescent="0.25">
      <c r="G56" s="6"/>
      <c r="H56" s="6"/>
      <c r="J56" s="9"/>
      <c r="K56" s="9"/>
    </row>
    <row r="57" spans="1:12" x14ac:dyDescent="0.25">
      <c r="G57" s="6"/>
      <c r="H57" s="6"/>
    </row>
    <row r="58" spans="1:12" x14ac:dyDescent="0.25">
      <c r="G58" s="6"/>
      <c r="H58" s="6"/>
      <c r="J58" s="10"/>
    </row>
    <row r="59" spans="1:12" x14ac:dyDescent="0.25">
      <c r="A59" s="1"/>
      <c r="B59" s="1"/>
      <c r="C59" s="1"/>
      <c r="D59" s="1"/>
      <c r="E59" s="1"/>
      <c r="F59" s="2"/>
      <c r="G59" s="1"/>
      <c r="H59" s="1"/>
      <c r="L59" s="11"/>
    </row>
    <row r="65" spans="1:12" ht="21" x14ac:dyDescent="0.25">
      <c r="A65" s="8"/>
      <c r="B65" s="8"/>
      <c r="C65" s="8"/>
    </row>
    <row r="66" spans="1:12" x14ac:dyDescent="0.25">
      <c r="A66" s="1"/>
      <c r="B66" s="1"/>
      <c r="C66" s="1"/>
      <c r="D66" s="1"/>
      <c r="E66" s="1"/>
      <c r="F66" s="2"/>
      <c r="G66" s="1"/>
      <c r="H66" s="1"/>
      <c r="J66" s="1"/>
      <c r="K66" s="1"/>
      <c r="L66" s="1"/>
    </row>
    <row r="67" spans="1:12" x14ac:dyDescent="0.25">
      <c r="C67" s="10"/>
      <c r="D67" s="10"/>
      <c r="E67" s="10"/>
      <c r="F67" s="10"/>
      <c r="G67" s="10"/>
      <c r="H67" s="10"/>
      <c r="K67" s="11"/>
      <c r="L67" s="11"/>
    </row>
    <row r="68" spans="1:12" x14ac:dyDescent="0.25">
      <c r="C68" s="10"/>
      <c r="D68" s="10"/>
      <c r="E68" s="6"/>
      <c r="F68" s="10"/>
      <c r="G68" s="10"/>
      <c r="H68" s="10"/>
      <c r="J68" s="10"/>
    </row>
    <row r="69" spans="1:12" x14ac:dyDescent="0.25">
      <c r="L69" s="11"/>
    </row>
    <row r="72" spans="1:12" ht="21" x14ac:dyDescent="0.25">
      <c r="A72" s="8"/>
      <c r="B72" s="8"/>
      <c r="C72" s="8"/>
    </row>
    <row r="73" spans="1:12" x14ac:dyDescent="0.25">
      <c r="A73" s="1"/>
      <c r="B73" s="1"/>
      <c r="C73" s="1"/>
      <c r="D73" s="1"/>
      <c r="E73" s="1"/>
      <c r="F73" s="2"/>
      <c r="G73" s="1"/>
      <c r="H73" s="1"/>
    </row>
    <row r="74" spans="1:12" x14ac:dyDescent="0.25">
      <c r="C74" s="10"/>
      <c r="D74" s="10"/>
      <c r="E74" s="10"/>
      <c r="F74" s="12"/>
      <c r="G74" s="12"/>
      <c r="H74" s="12"/>
    </row>
    <row r="75" spans="1:12" x14ac:dyDescent="0.25">
      <c r="C75" s="10"/>
      <c r="D75" s="10"/>
      <c r="E75" s="12"/>
      <c r="F75" s="12"/>
      <c r="G75" s="12"/>
      <c r="H75" s="12"/>
    </row>
    <row r="78" spans="1:12" ht="21" x14ac:dyDescent="0.25">
      <c r="A78" s="8"/>
      <c r="B78" s="8"/>
      <c r="C78" s="8"/>
    </row>
    <row r="79" spans="1:12" x14ac:dyDescent="0.25">
      <c r="A79" s="1"/>
      <c r="B79" s="1"/>
      <c r="C79" s="1"/>
      <c r="D79" s="1"/>
      <c r="E79" s="1"/>
      <c r="F79" s="2"/>
      <c r="G79" s="1"/>
      <c r="H79" s="1"/>
    </row>
    <row r="80" spans="1:12" x14ac:dyDescent="0.25">
      <c r="C80" s="10"/>
      <c r="D80" s="10"/>
      <c r="E80" s="10"/>
      <c r="F80" s="12"/>
      <c r="G80" s="12"/>
      <c r="H80" s="12"/>
    </row>
    <row r="81" spans="1:10" x14ac:dyDescent="0.25">
      <c r="C81" s="10"/>
      <c r="D81" s="10"/>
      <c r="E81" s="12"/>
      <c r="F81" s="12"/>
      <c r="G81" s="12"/>
      <c r="H81" s="12"/>
    </row>
    <row r="84" spans="1:10" ht="21" x14ac:dyDescent="0.25">
      <c r="A84" s="8"/>
      <c r="B84" s="8"/>
      <c r="C84" s="8"/>
    </row>
    <row r="85" spans="1:10" x14ac:dyDescent="0.25">
      <c r="A85" s="1"/>
      <c r="B85" s="1"/>
      <c r="C85" s="1"/>
      <c r="D85" s="1"/>
      <c r="E85" s="1"/>
      <c r="F85" s="2"/>
      <c r="G85" s="1"/>
      <c r="H85" s="1"/>
      <c r="J85" s="1"/>
    </row>
    <row r="86" spans="1:10" x14ac:dyDescent="0.25">
      <c r="C86" s="10"/>
      <c r="D86" s="10"/>
      <c r="E86" s="10"/>
      <c r="F86" s="12"/>
      <c r="G86" s="12"/>
      <c r="H86" s="12"/>
    </row>
    <row r="87" spans="1:10" x14ac:dyDescent="0.25">
      <c r="C87" s="10"/>
      <c r="D87" s="10"/>
      <c r="E87" s="12"/>
      <c r="F87" s="12"/>
      <c r="G87" s="12"/>
      <c r="H8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5%</vt:lpstr>
      <vt:lpstr>Name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Christe</dc:creator>
  <cp:lastModifiedBy>Arun Christe</cp:lastModifiedBy>
  <dcterms:created xsi:type="dcterms:W3CDTF">2015-06-05T18:17:20Z</dcterms:created>
  <dcterms:modified xsi:type="dcterms:W3CDTF">2024-04-04T12:41:20Z</dcterms:modified>
</cp:coreProperties>
</file>